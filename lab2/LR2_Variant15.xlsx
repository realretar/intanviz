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1\Documents\Data Analysis\lab 2\"/>
    </mc:Choice>
  </mc:AlternateContent>
  <bookViews>
    <workbookView xWindow="0" yWindow="0" windowWidth="25135" windowHeight="9635"/>
  </bookViews>
  <sheets>
    <sheet name="Модель" sheetId="1" r:id="rId1"/>
    <sheet name="Звіт про стійкість 1" sheetId="4" r:id="rId2"/>
  </sheets>
  <definedNames>
    <definedName name="solver_adj" localSheetId="0" hidden="1">Модель!$B$4:$E$4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Модель!$F$10:$F$14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Модель!$B$7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hs1" localSheetId="0" hidden="1">Модель!$H$10:$H$14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62913"/>
</workbook>
</file>

<file path=xl/calcChain.xml><?xml version="1.0" encoding="utf-8"?>
<calcChain xmlns="http://schemas.openxmlformats.org/spreadsheetml/2006/main">
  <c r="B7" i="1" l="1"/>
  <c r="F14" i="1" l="1"/>
  <c r="F13" i="1"/>
  <c r="F12" i="1"/>
  <c r="F11" i="1"/>
  <c r="F10" i="1"/>
</calcChain>
</file>

<file path=xl/sharedStrings.xml><?xml version="1.0" encoding="utf-8"?>
<sst xmlns="http://schemas.openxmlformats.org/spreadsheetml/2006/main" count="74" uniqueCount="56">
  <si>
    <t>Виріб</t>
  </si>
  <si>
    <t>Крісло</t>
  </si>
  <si>
    <t>Стілець</t>
  </si>
  <si>
    <t>Табурет</t>
  </si>
  <si>
    <t>Лава</t>
  </si>
  <si>
    <t>План випуску (x_j)</t>
  </si>
  <si>
    <t>Прибуток з од., грн (c_j)</t>
  </si>
  <si>
    <t>Цільова функція (Z)</t>
  </si>
  <si>
    <t>грн (максимум)</t>
  </si>
  <si>
    <t>Ресурс</t>
  </si>
  <si>
    <t>Використано</t>
  </si>
  <si>
    <t>Запас</t>
  </si>
  <si>
    <t>Дубовий брус, м</t>
  </si>
  <si>
    <t>&lt;=</t>
  </si>
  <si>
    <t>Фанера, м²</t>
  </si>
  <si>
    <t>Фурнітура, компл.</t>
  </si>
  <si>
    <t>Верстат, год</t>
  </si>
  <si>
    <t>Лакування, год</t>
  </si>
  <si>
    <t>Лабораторна робота #2 Варіант 15</t>
  </si>
  <si>
    <t>Microsoft Excel 16.0 Звіт про стійкість</t>
  </si>
  <si>
    <t>Аркуш: [LR2_Variant15.xlsx]Модель</t>
  </si>
  <si>
    <t>Клітинки змінних</t>
  </si>
  <si>
    <t>Клітинка</t>
  </si>
  <si>
    <t>Назва</t>
  </si>
  <si>
    <t>Остаточне</t>
  </si>
  <si>
    <t>Значення</t>
  </si>
  <si>
    <t>Зменшена</t>
  </si>
  <si>
    <t>Обмеження</t>
  </si>
  <si>
    <t>Звіт створено: 30.09.2026 12:17:12</t>
  </si>
  <si>
    <t>Вартість</t>
  </si>
  <si>
    <t>Цільова функція</t>
  </si>
  <si>
    <t>Коефіцієнт</t>
  </si>
  <si>
    <t>Припустиме</t>
  </si>
  <si>
    <t>Збільшення</t>
  </si>
  <si>
    <t>Зменшення</t>
  </si>
  <si>
    <t>Тінь</t>
  </si>
  <si>
    <t>Ціна</t>
  </si>
  <si>
    <t>Права сторона</t>
  </si>
  <si>
    <t>$B$4</t>
  </si>
  <si>
    <t>План випуску (x_j) Крісло</t>
  </si>
  <si>
    <t>$C$4</t>
  </si>
  <si>
    <t>План випуску (x_j) Стілець</t>
  </si>
  <si>
    <t>$D$4</t>
  </si>
  <si>
    <t>План випуску (x_j) Табурет</t>
  </si>
  <si>
    <t>$E$4</t>
  </si>
  <si>
    <t>План випуску (x_j) Лава</t>
  </si>
  <si>
    <t>$F$10</t>
  </si>
  <si>
    <t>Дубовий брус, м Використано</t>
  </si>
  <si>
    <t>$F$11</t>
  </si>
  <si>
    <t>Фанера, м² Використано</t>
  </si>
  <si>
    <t>$F$12</t>
  </si>
  <si>
    <t>Фурнітура, компл. Використано</t>
  </si>
  <si>
    <t>$F$13</t>
  </si>
  <si>
    <t>Верстат, год Використано</t>
  </si>
  <si>
    <t>$F$14</t>
  </si>
  <si>
    <t>Лакування, год Використано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</si>
</sst>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3"/>
      <color rgb="FF1F497D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1"/>
      <name val="Calibri"/>
      <family val="2"/>
      <charset val="204"/>
    </font>
    <font>
      <sz val="11"/>
      <name val="Calibri"/>
      <family val="2"/>
      <charset val="204"/>
    </font>
    <font>
      <b/>
      <sz val="12"/>
      <color rgb="FF006100"/>
      <name val="Calibri"/>
      <family val="2"/>
      <charset val="204"/>
    </font>
    <font>
      <i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indexed="1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  <fill>
      <patternFill patternType="solid">
        <fgColor rgb="FFDCE6F1"/>
        <bgColor rgb="FFDCE6F1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/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0" xfId="0" applyFont="1"/>
    <xf numFmtId="0" fontId="0" fillId="0" borderId="2" xfId="0" applyFill="1" applyBorder="1" applyAlignment="1"/>
    <xf numFmtId="0" fontId="0" fillId="0" borderId="5" xfId="0" applyFill="1" applyBorder="1" applyAlignment="1"/>
    <xf numFmtId="0" fontId="8" fillId="0" borderId="3" xfId="0" applyFont="1" applyFill="1" applyBorder="1" applyAlignment="1">
      <alignment horizontal="center"/>
    </xf>
    <xf numFmtId="0" fontId="8" fillId="0" borderId="4" xfId="0" applyFont="1" applyFill="1" applyBorder="1" applyAlignment="1">
      <alignment horizontal="center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workbookViewId="0">
      <selection activeCell="B7" sqref="B7"/>
    </sheetView>
  </sheetViews>
  <sheetFormatPr defaultRowHeight="15.05" x14ac:dyDescent="0.3"/>
  <cols>
    <col min="1" max="1" width="26" customWidth="1"/>
    <col min="2" max="2" width="29" customWidth="1"/>
    <col min="3" max="3" width="18" customWidth="1"/>
    <col min="4" max="5" width="12" customWidth="1"/>
    <col min="6" max="6" width="35" customWidth="1"/>
    <col min="7" max="8" width="12" customWidth="1"/>
  </cols>
  <sheetData>
    <row r="1" spans="1:8" ht="17.05" x14ac:dyDescent="0.3">
      <c r="A1" s="1" t="s">
        <v>18</v>
      </c>
    </row>
    <row r="3" spans="1:8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3"/>
      <c r="G3" s="3"/>
      <c r="H3" s="3"/>
    </row>
    <row r="4" spans="1:8" x14ac:dyDescent="0.3">
      <c r="A4" s="4" t="s">
        <v>5</v>
      </c>
      <c r="B4" s="5">
        <v>120.07142857142858</v>
      </c>
      <c r="C4" s="5">
        <v>0</v>
      </c>
      <c r="D4" s="5">
        <v>0</v>
      </c>
      <c r="E4" s="5">
        <v>12.642857142857141</v>
      </c>
      <c r="F4" s="3"/>
      <c r="G4" s="3"/>
      <c r="H4" s="3"/>
    </row>
    <row r="5" spans="1:8" x14ac:dyDescent="0.3">
      <c r="A5" s="6" t="s">
        <v>6</v>
      </c>
      <c r="B5" s="7">
        <v>64</v>
      </c>
      <c r="C5" s="7">
        <v>58</v>
      </c>
      <c r="D5" s="7">
        <v>34</v>
      </c>
      <c r="E5" s="7">
        <v>63</v>
      </c>
      <c r="F5" s="3"/>
      <c r="G5" s="3"/>
      <c r="H5" s="3"/>
    </row>
    <row r="6" spans="1:8" x14ac:dyDescent="0.3">
      <c r="A6" s="3"/>
      <c r="B6" s="3"/>
      <c r="C6" s="3"/>
      <c r="D6" s="3"/>
      <c r="E6" s="3"/>
      <c r="F6" s="3"/>
      <c r="G6" s="3"/>
      <c r="H6" s="3"/>
    </row>
    <row r="7" spans="1:8" ht="15.75" x14ac:dyDescent="0.3">
      <c r="A7" s="4" t="s">
        <v>7</v>
      </c>
      <c r="B7" s="8">
        <f>SUMPRODUCT(B4:E4, B5:E5)</f>
        <v>8481.0714285714294</v>
      </c>
      <c r="C7" s="9" t="s">
        <v>8</v>
      </c>
      <c r="D7" s="3"/>
      <c r="E7" s="3"/>
      <c r="F7" s="3"/>
      <c r="G7" s="3"/>
      <c r="H7" s="3"/>
    </row>
    <row r="8" spans="1:8" x14ac:dyDescent="0.3">
      <c r="A8" s="3"/>
      <c r="B8" s="3"/>
      <c r="C8" s="3"/>
      <c r="D8" s="3"/>
      <c r="E8" s="3"/>
      <c r="F8" s="3"/>
      <c r="G8" s="3"/>
      <c r="H8" s="3"/>
    </row>
    <row r="9" spans="1:8" x14ac:dyDescent="0.3">
      <c r="A9" s="2" t="s">
        <v>9</v>
      </c>
      <c r="B9" s="2" t="s">
        <v>1</v>
      </c>
      <c r="C9" s="2" t="s">
        <v>2</v>
      </c>
      <c r="D9" s="2" t="s">
        <v>3</v>
      </c>
      <c r="E9" s="2" t="s">
        <v>4</v>
      </c>
      <c r="F9" s="2" t="s">
        <v>10</v>
      </c>
      <c r="G9" s="2"/>
      <c r="H9" s="2" t="s">
        <v>11</v>
      </c>
    </row>
    <row r="10" spans="1:8" x14ac:dyDescent="0.3">
      <c r="A10" s="6" t="s">
        <v>12</v>
      </c>
      <c r="B10" s="10">
        <v>5</v>
      </c>
      <c r="C10" s="10">
        <v>3</v>
      </c>
      <c r="D10" s="10">
        <v>3</v>
      </c>
      <c r="E10" s="10">
        <v>1</v>
      </c>
      <c r="F10" s="11">
        <f>SUMPRODUCT($B$4:$E$4, B10:E10)</f>
        <v>613</v>
      </c>
      <c r="G10" s="10" t="s">
        <v>13</v>
      </c>
      <c r="H10" s="12">
        <v>613</v>
      </c>
    </row>
    <row r="11" spans="1:8" x14ac:dyDescent="0.3">
      <c r="A11" s="6" t="s">
        <v>14</v>
      </c>
      <c r="B11" s="10">
        <v>2</v>
      </c>
      <c r="C11" s="10">
        <v>5</v>
      </c>
      <c r="D11" s="10">
        <v>6</v>
      </c>
      <c r="E11" s="10">
        <v>6</v>
      </c>
      <c r="F11" s="11">
        <f>SUMPRODUCT($B$4:$E$4, B11:E11)</f>
        <v>316</v>
      </c>
      <c r="G11" s="10" t="s">
        <v>13</v>
      </c>
      <c r="H11" s="12">
        <v>316</v>
      </c>
    </row>
    <row r="12" spans="1:8" x14ac:dyDescent="0.3">
      <c r="A12" s="6" t="s">
        <v>15</v>
      </c>
      <c r="B12" s="10">
        <v>3</v>
      </c>
      <c r="C12" s="10">
        <v>1</v>
      </c>
      <c r="D12" s="10">
        <v>0</v>
      </c>
      <c r="E12" s="10">
        <v>0</v>
      </c>
      <c r="F12" s="11">
        <f>SUMPRODUCT($B$4:$E$4, B12:E12)</f>
        <v>360.21428571428578</v>
      </c>
      <c r="G12" s="10" t="s">
        <v>13</v>
      </c>
      <c r="H12" s="12">
        <v>1035</v>
      </c>
    </row>
    <row r="13" spans="1:8" x14ac:dyDescent="0.3">
      <c r="A13" s="6" t="s">
        <v>16</v>
      </c>
      <c r="B13" s="10">
        <v>0</v>
      </c>
      <c r="C13" s="10">
        <v>4</v>
      </c>
      <c r="D13" s="10">
        <v>4</v>
      </c>
      <c r="E13" s="10">
        <v>6</v>
      </c>
      <c r="F13" s="11">
        <f>SUMPRODUCT($B$4:$E$4, B13:E13)</f>
        <v>75.857142857142847</v>
      </c>
      <c r="G13" s="10" t="s">
        <v>13</v>
      </c>
      <c r="H13" s="12">
        <v>739</v>
      </c>
    </row>
    <row r="14" spans="1:8" x14ac:dyDescent="0.3">
      <c r="A14" s="6" t="s">
        <v>17</v>
      </c>
      <c r="B14" s="10">
        <v>2</v>
      </c>
      <c r="C14" s="10">
        <v>2</v>
      </c>
      <c r="D14" s="10">
        <v>2</v>
      </c>
      <c r="E14" s="10">
        <v>6</v>
      </c>
      <c r="F14" s="11">
        <f>SUMPRODUCT($B$4:$E$4, B14:E14)</f>
        <v>316</v>
      </c>
      <c r="G14" s="10" t="s">
        <v>13</v>
      </c>
      <c r="H14" s="12">
        <v>810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showGridLines="0" workbookViewId="0">
      <selection activeCell="I12" sqref="I12"/>
    </sheetView>
  </sheetViews>
  <sheetFormatPr defaultRowHeight="15.05" x14ac:dyDescent="0.3"/>
  <cols>
    <col min="1" max="1" width="2.33203125" customWidth="1"/>
    <col min="2" max="2" width="8.109375" customWidth="1"/>
    <col min="3" max="3" width="27" bestFit="1" customWidth="1"/>
    <col min="4" max="4" width="12" bestFit="1" customWidth="1"/>
    <col min="5" max="5" width="12.5546875" bestFit="1" customWidth="1"/>
    <col min="6" max="6" width="14.33203125" bestFit="1" customWidth="1"/>
    <col min="7" max="8" width="12" bestFit="1" customWidth="1"/>
  </cols>
  <sheetData>
    <row r="1" spans="1:8" x14ac:dyDescent="0.3">
      <c r="A1" s="13" t="s">
        <v>19</v>
      </c>
    </row>
    <row r="2" spans="1:8" x14ac:dyDescent="0.3">
      <c r="A2" s="13" t="s">
        <v>20</v>
      </c>
    </row>
    <row r="3" spans="1:8" x14ac:dyDescent="0.3">
      <c r="A3" s="13" t="s">
        <v>28</v>
      </c>
    </row>
    <row r="6" spans="1:8" ht="15.75" thickBot="1" x14ac:dyDescent="0.35">
      <c r="A6" t="s">
        <v>21</v>
      </c>
    </row>
    <row r="7" spans="1:8" x14ac:dyDescent="0.3">
      <c r="B7" s="16"/>
      <c r="C7" s="16"/>
      <c r="D7" s="16" t="s">
        <v>24</v>
      </c>
      <c r="E7" s="16" t="s">
        <v>26</v>
      </c>
      <c r="F7" s="16" t="s">
        <v>30</v>
      </c>
      <c r="G7" s="16" t="s">
        <v>32</v>
      </c>
      <c r="H7" s="16" t="s">
        <v>32</v>
      </c>
    </row>
    <row r="8" spans="1:8" ht="15.75" thickBot="1" x14ac:dyDescent="0.35">
      <c r="B8" s="17" t="s">
        <v>22</v>
      </c>
      <c r="C8" s="17" t="s">
        <v>23</v>
      </c>
      <c r="D8" s="17" t="s">
        <v>25</v>
      </c>
      <c r="E8" s="17" t="s">
        <v>29</v>
      </c>
      <c r="F8" s="17" t="s">
        <v>31</v>
      </c>
      <c r="G8" s="17" t="s">
        <v>33</v>
      </c>
      <c r="H8" s="17" t="s">
        <v>34</v>
      </c>
    </row>
    <row r="9" spans="1:8" x14ac:dyDescent="0.3">
      <c r="B9" s="15" t="s">
        <v>38</v>
      </c>
      <c r="C9" s="15" t="s">
        <v>39</v>
      </c>
      <c r="D9" s="15">
        <v>120.071428571429</v>
      </c>
      <c r="E9" s="15">
        <v>0</v>
      </c>
      <c r="F9" s="15">
        <v>64</v>
      </c>
      <c r="G9" s="15">
        <v>251</v>
      </c>
      <c r="H9" s="15">
        <v>31.153846153846168</v>
      </c>
    </row>
    <row r="10" spans="1:8" x14ac:dyDescent="0.3">
      <c r="B10" s="15" t="s">
        <v>40</v>
      </c>
      <c r="C10" s="15" t="s">
        <v>41</v>
      </c>
      <c r="D10" s="15">
        <v>0</v>
      </c>
      <c r="E10" s="15">
        <v>-14.464285714285722</v>
      </c>
      <c r="F10" s="15">
        <v>58</v>
      </c>
      <c r="G10" s="15">
        <v>14.464285714285722</v>
      </c>
      <c r="H10" s="15">
        <v>1E+30</v>
      </c>
    </row>
    <row r="11" spans="1:8" x14ac:dyDescent="0.3">
      <c r="B11" s="15" t="s">
        <v>42</v>
      </c>
      <c r="C11" s="15" t="s">
        <v>43</v>
      </c>
      <c r="D11" s="15">
        <v>0</v>
      </c>
      <c r="E11" s="15">
        <v>-47.428571428571438</v>
      </c>
      <c r="F11" s="15">
        <v>34</v>
      </c>
      <c r="G11" s="15">
        <v>47.428571428571438</v>
      </c>
      <c r="H11" s="15">
        <v>1E+30</v>
      </c>
    </row>
    <row r="12" spans="1:8" ht="15.75" thickBot="1" x14ac:dyDescent="0.35">
      <c r="B12" s="14" t="s">
        <v>44</v>
      </c>
      <c r="C12" s="14" t="s">
        <v>45</v>
      </c>
      <c r="D12" s="14">
        <v>12.6428571428571</v>
      </c>
      <c r="E12" s="14">
        <v>0</v>
      </c>
      <c r="F12" s="14">
        <v>63</v>
      </c>
      <c r="G12" s="14">
        <v>129</v>
      </c>
      <c r="H12" s="14">
        <v>21.315789473684223</v>
      </c>
    </row>
    <row r="14" spans="1:8" ht="15.75" thickBot="1" x14ac:dyDescent="0.35">
      <c r="A14" t="s">
        <v>27</v>
      </c>
    </row>
    <row r="15" spans="1:8" x14ac:dyDescent="0.3">
      <c r="B15" s="16"/>
      <c r="C15" s="16"/>
      <c r="D15" s="16" t="s">
        <v>24</v>
      </c>
      <c r="E15" s="16" t="s">
        <v>35</v>
      </c>
      <c r="F15" s="16" t="s">
        <v>27</v>
      </c>
      <c r="G15" s="16" t="s">
        <v>32</v>
      </c>
      <c r="H15" s="16" t="s">
        <v>32</v>
      </c>
    </row>
    <row r="16" spans="1:8" ht="15.75" thickBot="1" x14ac:dyDescent="0.35">
      <c r="B16" s="17" t="s">
        <v>22</v>
      </c>
      <c r="C16" s="17" t="s">
        <v>23</v>
      </c>
      <c r="D16" s="17" t="s">
        <v>25</v>
      </c>
      <c r="E16" s="17" t="s">
        <v>36</v>
      </c>
      <c r="F16" s="17" t="s">
        <v>37</v>
      </c>
      <c r="G16" s="17" t="s">
        <v>33</v>
      </c>
      <c r="H16" s="17" t="s">
        <v>34</v>
      </c>
    </row>
    <row r="17" spans="2:8" x14ac:dyDescent="0.3">
      <c r="B17" s="15" t="s">
        <v>46</v>
      </c>
      <c r="C17" s="15" t="s">
        <v>47</v>
      </c>
      <c r="D17" s="15">
        <v>613</v>
      </c>
      <c r="E17" s="15">
        <v>9.2142857142857153</v>
      </c>
      <c r="F17" s="15">
        <v>613</v>
      </c>
      <c r="G17" s="15">
        <v>176.99999999999994</v>
      </c>
      <c r="H17" s="15">
        <v>560.33333333333337</v>
      </c>
    </row>
    <row r="18" spans="2:8" x14ac:dyDescent="0.3">
      <c r="B18" s="15" t="s">
        <v>48</v>
      </c>
      <c r="C18" s="15" t="s">
        <v>49</v>
      </c>
      <c r="D18" s="15">
        <v>316</v>
      </c>
      <c r="E18" s="15">
        <v>8.9642857142857153</v>
      </c>
      <c r="F18" s="15">
        <v>316</v>
      </c>
      <c r="G18" s="15">
        <v>494</v>
      </c>
      <c r="H18" s="15">
        <v>70.799999999999983</v>
      </c>
    </row>
    <row r="19" spans="2:8" x14ac:dyDescent="0.3">
      <c r="B19" s="15" t="s">
        <v>50</v>
      </c>
      <c r="C19" s="15" t="s">
        <v>51</v>
      </c>
      <c r="D19" s="15">
        <v>360.21428571428578</v>
      </c>
      <c r="E19" s="15">
        <v>0</v>
      </c>
      <c r="F19" s="15">
        <v>1035</v>
      </c>
      <c r="G19" s="15">
        <v>1E+30</v>
      </c>
      <c r="H19" s="15">
        <v>674.78571428571433</v>
      </c>
    </row>
    <row r="20" spans="2:8" x14ac:dyDescent="0.3">
      <c r="B20" s="15" t="s">
        <v>52</v>
      </c>
      <c r="C20" s="15" t="s">
        <v>53</v>
      </c>
      <c r="D20" s="15">
        <v>75.857142857142847</v>
      </c>
      <c r="E20" s="15">
        <v>0</v>
      </c>
      <c r="F20" s="15">
        <v>739</v>
      </c>
      <c r="G20" s="15">
        <v>1E+30</v>
      </c>
      <c r="H20" s="15">
        <v>663.14285714285711</v>
      </c>
    </row>
    <row r="21" spans="2:8" ht="15.75" thickBot="1" x14ac:dyDescent="0.35">
      <c r="B21" s="14" t="s">
        <v>54</v>
      </c>
      <c r="C21" s="14" t="s">
        <v>55</v>
      </c>
      <c r="D21" s="14">
        <v>316</v>
      </c>
      <c r="E21" s="14">
        <v>0</v>
      </c>
      <c r="F21" s="14">
        <v>810</v>
      </c>
      <c r="G21" s="14">
        <v>1E+30</v>
      </c>
      <c r="H21" s="14">
        <v>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Модель</vt:lpstr>
      <vt:lpstr>Звіт про стійкість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admin1</cp:lastModifiedBy>
  <dcterms:created xsi:type="dcterms:W3CDTF">2026-09-30T09:00:16Z</dcterms:created>
  <dcterms:modified xsi:type="dcterms:W3CDTF">2026-10-09T09:24:54Z</dcterms:modified>
</cp:coreProperties>
</file>